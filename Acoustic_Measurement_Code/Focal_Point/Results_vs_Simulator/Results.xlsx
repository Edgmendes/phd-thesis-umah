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do_Mendes\OneDrive - UM\OneDrive - Universidade do Minho\PhD\Anexos-Tese-Git\Acoustic_Measurement_Code\Focal_Point\Results_vs_Simulator\"/>
    </mc:Choice>
  </mc:AlternateContent>
  <xr:revisionPtr revIDLastSave="0" documentId="13_ncr:1_{2966D55D-2250-49B3-ACC7-210D868F03A5}" xr6:coauthVersionLast="45" xr6:coauthVersionMax="45" xr10:uidLastSave="{00000000-0000-0000-0000-000000000000}"/>
  <bookViews>
    <workbookView xWindow="-108" yWindow="-108" windowWidth="23256" windowHeight="13176" xr2:uid="{58B51FE7-DC1A-422F-AEF6-83F18C3BB3FC}"/>
  </bookViews>
  <sheets>
    <sheet name="Final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13" i="4" l="1"/>
  <c r="L13" i="4"/>
  <c r="L12" i="4"/>
  <c r="L11" i="4"/>
</calcChain>
</file>

<file path=xl/sharedStrings.xml><?xml version="1.0" encoding="utf-8"?>
<sst xmlns="http://schemas.openxmlformats.org/spreadsheetml/2006/main" count="10" uniqueCount="9">
  <si>
    <t>Experimental</t>
  </si>
  <si>
    <t>Simulation</t>
  </si>
  <si>
    <t>Sound Pressure Peak [Pa]</t>
  </si>
  <si>
    <t>Size - FWHM [mm]</t>
  </si>
  <si>
    <t>Radiation Force [mN]</t>
  </si>
  <si>
    <t>Balance</t>
  </si>
  <si>
    <t>-</t>
  </si>
  <si>
    <t>Erro %</t>
  </si>
  <si>
    <t>Intensity 24% (12% DC)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</si>
</sst>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69866-AFD9-4764-AA68-5B953B4B04FD}">
  <dimension ref="H8:M13"/>
  <sheetViews>
    <sheetView tabSelected="1" topLeftCell="F1" workbookViewId="0">
      <selection activeCell="L11" sqref="L11:L13"/>
    </sheetView>
  </sheetViews>
  <sheetFormatPr defaultRowHeight="14.4" x14ac:dyDescent="0.3"/>
  <cols>
    <col min="8" max="8" width="27" customWidth="1"/>
    <col min="9" max="9" width="13.5546875" customWidth="1"/>
    <col min="10" max="10" width="13.77734375" customWidth="1"/>
    <col min="11" max="11" width="13.5546875" customWidth="1"/>
    <col min="12" max="12" width="17" customWidth="1"/>
  </cols>
  <sheetData>
    <row r="8" spans="8:13" x14ac:dyDescent="0.3">
      <c r="H8" t="s">
        <v>8</v>
      </c>
    </row>
    <row r="10" spans="8:13" x14ac:dyDescent="0.3">
      <c r="H10" s="1"/>
      <c r="I10" s="1" t="s">
        <v>0</v>
      </c>
      <c r="J10" s="1" t="s">
        <v>1</v>
      </c>
      <c r="K10" s="1" t="s">
        <v>5</v>
      </c>
      <c r="L10" s="1" t="s">
        <v>7</v>
      </c>
    </row>
    <row r="11" spans="8:13" x14ac:dyDescent="0.3">
      <c r="H11" s="1" t="s">
        <v>2</v>
      </c>
      <c r="I11" s="1">
        <v>2126</v>
      </c>
      <c r="J11" s="1">
        <v>2250</v>
      </c>
      <c r="K11" s="1" t="s">
        <v>6</v>
      </c>
      <c r="L11" s="1">
        <f>((J11/I11)-1)*100</f>
        <v>5.8325493885230451</v>
      </c>
    </row>
    <row r="12" spans="8:13" x14ac:dyDescent="0.3">
      <c r="H12" s="1" t="s">
        <v>3</v>
      </c>
      <c r="I12" s="1">
        <v>15</v>
      </c>
      <c r="J12" s="1">
        <v>13.6</v>
      </c>
      <c r="K12" s="1" t="s">
        <v>6</v>
      </c>
      <c r="L12" s="1">
        <f>((J12/I12)-1)*100</f>
        <v>-9.3333333333333375</v>
      </c>
    </row>
    <row r="13" spans="8:13" x14ac:dyDescent="0.3">
      <c r="H13" s="1" t="s">
        <v>4</v>
      </c>
      <c r="I13" s="1">
        <v>3.54</v>
      </c>
      <c r="J13" s="1">
        <v>3.23</v>
      </c>
      <c r="K13" s="1">
        <v>2.1</v>
      </c>
      <c r="L13" s="1">
        <f>((J13/I13)-1)*100</f>
        <v>-8.7570621468926575</v>
      </c>
      <c r="M13">
        <f>((K13/I13)-1)*100</f>
        <v>-40.677966101694921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Eduardo_Mendes</dc:creator>
  <cp:lastModifiedBy>Eduardo_Mendes</cp:lastModifiedBy>
  <dcterms:created xsi:type="dcterms:W3CDTF">2025-08-29T12:48:00Z</dcterms:created>
  <dcterms:modified xsi:type="dcterms:W3CDTF">2026-05-08T11:13:16Z</dcterms:modified>
</cp:coreProperties>
</file>